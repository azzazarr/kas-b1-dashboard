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D231075AA5DA656/Lampiran/"/>
    </mc:Choice>
  </mc:AlternateContent>
  <xr:revisionPtr revIDLastSave="1" documentId="8_{42BC9D70-292A-4F4B-8288-123979D22062}" xr6:coauthVersionLast="47" xr6:coauthVersionMax="47" xr10:uidLastSave="{C1162FA2-A864-416E-B750-1620E8415B12}"/>
  <bookViews>
    <workbookView xWindow="-110" yWindow="-110" windowWidth="19420" windowHeight="10300" xr2:uid="{00000000-000D-0000-FFFF-FFFF00000000}"/>
  </bookViews>
  <sheets>
    <sheet name="Dashboard" sheetId="1" r:id="rId1"/>
    <sheet name="Data_Kas" sheetId="2" r:id="rId2"/>
  </sheets>
  <calcPr calcId="191028"/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E6" i="1"/>
  <c r="C17" i="1" s="1"/>
  <c r="B6" i="1"/>
  <c r="H6" i="1" s="1"/>
  <c r="C14" i="1"/>
  <c r="C13" i="1"/>
  <c r="C12" i="1"/>
  <c r="C11" i="1"/>
  <c r="C16" i="1" l="1"/>
</calcChain>
</file>

<file path=xl/sharedStrings.xml><?xml version="1.0" encoding="utf-8"?>
<sst xmlns="http://schemas.openxmlformats.org/spreadsheetml/2006/main" count="43" uniqueCount="27">
  <si>
    <t>LAPORAN &amp; DASHBOARD KAS KELAS B1</t>
  </si>
  <si>
    <t>TOTAL IURAN MASUK</t>
  </si>
  <si>
    <t>TOTAL PENGELUARAN</t>
  </si>
  <si>
    <t>SISA SALDO KAS B1</t>
  </si>
  <si>
    <t>Ringkasan Alokasi Kas</t>
  </si>
  <si>
    <t>Total Nominal</t>
  </si>
  <si>
    <t>Iuran Kelas</t>
  </si>
  <si>
    <t>Kegiatan</t>
  </si>
  <si>
    <t>Sosial</t>
  </si>
  <si>
    <t>Perlengkapan</t>
  </si>
  <si>
    <t>Total</t>
  </si>
  <si>
    <t>Pemasukan</t>
  </si>
  <si>
    <t>Pengeluaran</t>
  </si>
  <si>
    <t>No</t>
  </si>
  <si>
    <t>Tanggal</t>
  </si>
  <si>
    <t>Keterangan</t>
  </si>
  <si>
    <t>Kategori</t>
  </si>
  <si>
    <t>Jenis</t>
  </si>
  <si>
    <t>Jumlah</t>
  </si>
  <si>
    <t>Saldo Berjalan</t>
  </si>
  <si>
    <t>Total Iuran Kas Kelas (Oktober - Desember)</t>
  </si>
  <si>
    <t>Maba Cup</t>
  </si>
  <si>
    <t>Dekan Cup</t>
  </si>
  <si>
    <t>Penggalangan Dana (B1)</t>
  </si>
  <si>
    <t>Bahan Ultras</t>
  </si>
  <si>
    <t>Total Iuran Kas Kelas (April - Juni)</t>
  </si>
  <si>
    <t>berjalan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</si>
</sst>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p\ #,##0"/>
    <numFmt numFmtId="165" formatCode="&quot;Rp&quot;#,##0;[Red]&quot;Rp&quot;#,##0"/>
    <numFmt numFmtId="166" formatCode="&quot;Rp&quot;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sz val="10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9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rgb="FF2E7D3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rgb="FF1F4E78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rgb="FFC62828"/>
      </patternFill>
    </fill>
    <fill>
      <patternFill patternType="solid">
        <fgColor rgb="FFB9EBA7"/>
        <bgColor rgb="FFE2EFDA"/>
      </patternFill>
    </fill>
    <fill>
      <patternFill patternType="solid">
        <fgColor rgb="FFEEA396"/>
        <bgColor rgb="FFFCE4D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5" fillId="0" borderId="0" xfId="0" applyFont="1"/>
    <xf numFmtId="0" fontId="6" fillId="4" borderId="1" xfId="0" applyFont="1" applyFill="1" applyBorder="1" applyAlignment="1">
      <alignment horizontal="center"/>
    </xf>
    <xf numFmtId="0" fontId="3" fillId="5" borderId="1" xfId="0" applyFont="1" applyFill="1" applyBorder="1"/>
    <xf numFmtId="164" fontId="3" fillId="5" borderId="1" xfId="0" applyNumberFormat="1" applyFont="1" applyFill="1" applyBorder="1"/>
    <xf numFmtId="0" fontId="1" fillId="5" borderId="1" xfId="0" applyFont="1" applyFill="1" applyBorder="1"/>
    <xf numFmtId="165" fontId="1" fillId="5" borderId="1" xfId="0" applyNumberFormat="1" applyFont="1" applyFill="1" applyBorder="1"/>
    <xf numFmtId="166" fontId="1" fillId="5" borderId="1" xfId="0" applyNumberFormat="1" applyFont="1" applyFill="1" applyBorder="1"/>
    <xf numFmtId="0" fontId="8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7" borderId="1" xfId="0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vertical="center"/>
    </xf>
    <xf numFmtId="0" fontId="9" fillId="8" borderId="1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4" fillId="0" borderId="0" xfId="0" applyFont="1"/>
    <xf numFmtId="0" fontId="1" fillId="0" borderId="0" xfId="0" applyFont="1"/>
    <xf numFmtId="164" fontId="2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/>
    <xf numFmtId="0" fontId="10" fillId="2" borderId="1" xfId="0" applyFont="1" applyFill="1" applyBorder="1" applyAlignment="1">
      <alignment horizontal="center"/>
    </xf>
    <xf numFmtId="0" fontId="5" fillId="3" borderId="1" xfId="0" applyFont="1" applyFill="1" applyBorder="1"/>
    <xf numFmtId="0" fontId="10" fillId="6" borderId="1" xfId="0" applyFont="1" applyFill="1" applyBorder="1" applyAlignment="1">
      <alignment horizontal="center"/>
    </xf>
    <xf numFmtId="0" fontId="1" fillId="3" borderId="1" xfId="0" applyFont="1" applyFill="1" applyBorder="1"/>
    <xf numFmtId="0" fontId="10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EA396"/>
      <color rgb="FFB9EB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id-ID">
                <a:solidFill>
                  <a:schemeClr val="tx1"/>
                </a:solidFill>
              </a:rPr>
              <a:t>Perbandingan Arus Kas Kelas B1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Dashboard!$B$16:$B$17</c:f>
              <c:strCache>
                <c:ptCount val="2"/>
                <c:pt idx="0">
                  <c:v>Pemasukan</c:v>
                </c:pt>
                <c:pt idx="1">
                  <c:v>Pengeluaran</c:v>
                </c:pt>
              </c:strCache>
            </c:strRef>
          </c:cat>
          <c:val>
            <c:numRef>
              <c:f>Dashboard!$C$16:$C$17</c:f>
              <c:numCache>
                <c:formatCode>"Rp"#,##0</c:formatCode>
                <c:ptCount val="2"/>
                <c:pt idx="0" formatCode="&quot;Rp&quot;#,##0;[Red]&quot;Rp&quot;#,##0">
                  <c:v>4340000</c:v>
                </c:pt>
                <c:pt idx="1">
                  <c:v>1405000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0-1A41-995B-2BA9E32CE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;[Red]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12700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7"/>
  <sheetViews>
    <sheetView tabSelected="1" workbookViewId="0">
      <selection activeCell="E13" sqref="E13"/>
    </sheetView>
  </sheetViews>
  <sheetFormatPr defaultColWidth="8.7265625" defaultRowHeight="14" x14ac:dyDescent="0.3"/>
  <cols>
    <col min="1" max="1" width="8.7265625" style="1"/>
    <col min="2" max="2" width="23.90625" style="1" customWidth="1"/>
    <col min="3" max="3" width="18" style="1" customWidth="1"/>
    <col min="4" max="4" width="8.7265625" style="1"/>
    <col min="5" max="5" width="23.90625" style="1" customWidth="1"/>
    <col min="6" max="6" width="18" style="1" customWidth="1"/>
    <col min="7" max="16384" width="8.7265625" style="1"/>
  </cols>
  <sheetData>
    <row r="2" spans="2:9" ht="20" x14ac:dyDescent="0.4">
      <c r="B2" s="19" t="s">
        <v>0</v>
      </c>
      <c r="C2" s="20"/>
      <c r="D2" s="20"/>
      <c r="E2" s="20"/>
      <c r="F2" s="20"/>
      <c r="G2" s="20"/>
    </row>
    <row r="5" spans="2:9" x14ac:dyDescent="0.3">
      <c r="B5" s="23" t="s">
        <v>1</v>
      </c>
      <c r="C5" s="24"/>
      <c r="E5" s="25" t="s">
        <v>2</v>
      </c>
      <c r="F5" s="26"/>
      <c r="H5" s="27" t="s">
        <v>3</v>
      </c>
      <c r="I5" s="26"/>
    </row>
    <row r="6" spans="2:9" x14ac:dyDescent="0.3">
      <c r="B6" s="21">
        <f>SUMIF(Data_Kas!E:E, "Pemasukan", Data_Kas!F:F)</f>
        <v>4340000</v>
      </c>
      <c r="C6" s="22"/>
      <c r="E6" s="21">
        <f>SUMIF(Data_Kas!E:E, "Pengeluaran", Data_Kas!F:F)</f>
        <v>1405000</v>
      </c>
      <c r="F6" s="22"/>
      <c r="H6" s="21">
        <f>B6-E6</f>
        <v>2935000</v>
      </c>
      <c r="I6" s="22"/>
    </row>
    <row r="7" spans="2:9" x14ac:dyDescent="0.3">
      <c r="B7" s="22"/>
      <c r="C7" s="22"/>
      <c r="E7" s="22"/>
      <c r="F7" s="22"/>
      <c r="H7" s="22"/>
      <c r="I7" s="22"/>
    </row>
    <row r="9" spans="2:9" x14ac:dyDescent="0.3">
      <c r="B9" s="2" t="s">
        <v>4</v>
      </c>
    </row>
    <row r="10" spans="2:9" x14ac:dyDescent="0.3">
      <c r="B10" s="3" t="s">
        <v>16</v>
      </c>
      <c r="C10" s="3" t="s">
        <v>5</v>
      </c>
    </row>
    <row r="11" spans="2:9" x14ac:dyDescent="0.3">
      <c r="B11" s="4" t="s">
        <v>6</v>
      </c>
      <c r="C11" s="5">
        <f>SUMIF(Data_Kas!D:D, B11, Data_Kas!F:F)</f>
        <v>4340000</v>
      </c>
    </row>
    <row r="12" spans="2:9" x14ac:dyDescent="0.3">
      <c r="B12" s="4" t="s">
        <v>7</v>
      </c>
      <c r="C12" s="5">
        <f>SUMIF(Data_Kas!D:D, B12, Data_Kas!F:F)</f>
        <v>1040000</v>
      </c>
    </row>
    <row r="13" spans="2:9" x14ac:dyDescent="0.3">
      <c r="B13" s="4" t="s">
        <v>8</v>
      </c>
      <c r="C13" s="5">
        <f>SUMIF(Data_Kas!D:D, B13, Data_Kas!F:F)</f>
        <v>300000</v>
      </c>
    </row>
    <row r="14" spans="2:9" x14ac:dyDescent="0.3">
      <c r="B14" s="4" t="s">
        <v>9</v>
      </c>
      <c r="C14" s="5">
        <f>SUMIF(Data_Kas!D:D, B14, Data_Kas!F:F)</f>
        <v>65000</v>
      </c>
    </row>
    <row r="15" spans="2:9" ht="14.5" customHeight="1" x14ac:dyDescent="0.3">
      <c r="B15" s="17" t="s">
        <v>10</v>
      </c>
      <c r="C15" s="18"/>
    </row>
    <row r="16" spans="2:9" x14ac:dyDescent="0.3">
      <c r="B16" s="6" t="s">
        <v>11</v>
      </c>
      <c r="C16" s="7">
        <f>B6</f>
        <v>4340000</v>
      </c>
    </row>
    <row r="17" spans="2:3" x14ac:dyDescent="0.3">
      <c r="B17" s="6" t="s">
        <v>12</v>
      </c>
      <c r="C17" s="8">
        <f>E6</f>
        <v>1405000</v>
      </c>
    </row>
  </sheetData>
  <mergeCells count="8">
    <mergeCell ref="B15:C15"/>
    <mergeCell ref="B2:G2"/>
    <mergeCell ref="E6:F7"/>
    <mergeCell ref="H6:I7"/>
    <mergeCell ref="B5:C5"/>
    <mergeCell ref="E5:F5"/>
    <mergeCell ref="B6:C7"/>
    <mergeCell ref="H5:I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F10" sqref="F10"/>
    </sheetView>
  </sheetViews>
  <sheetFormatPr defaultColWidth="8.7265625" defaultRowHeight="15.5" x14ac:dyDescent="0.35"/>
  <cols>
    <col min="1" max="1" width="6.26953125" style="9" customWidth="1"/>
    <col min="2" max="2" width="16.26953125" style="9" customWidth="1"/>
    <col min="3" max="3" width="45.08984375" style="9" customWidth="1"/>
    <col min="4" max="4" width="14.90625" style="9" customWidth="1"/>
    <col min="5" max="5" width="15.90625" style="9" customWidth="1"/>
    <col min="6" max="6" width="15.6328125" style="9" customWidth="1"/>
    <col min="7" max="7" width="15.453125" style="9" customWidth="1"/>
    <col min="8" max="16384" width="8.7265625" style="9"/>
  </cols>
  <sheetData>
    <row r="1" spans="1:7" x14ac:dyDescent="0.35">
      <c r="A1" s="10" t="s">
        <v>13</v>
      </c>
      <c r="B1" s="10" t="s">
        <v>14</v>
      </c>
      <c r="C1" s="10" t="s">
        <v>15</v>
      </c>
      <c r="D1" s="10" t="s">
        <v>16</v>
      </c>
      <c r="E1" s="10" t="s">
        <v>17</v>
      </c>
      <c r="F1" s="10" t="s">
        <v>18</v>
      </c>
      <c r="G1" s="10" t="s">
        <v>19</v>
      </c>
    </row>
    <row r="2" spans="1:7" x14ac:dyDescent="0.35">
      <c r="A2" s="11">
        <v>1</v>
      </c>
      <c r="B2" s="16">
        <v>46015</v>
      </c>
      <c r="C2" s="12" t="s">
        <v>20</v>
      </c>
      <c r="D2" s="11" t="s">
        <v>6</v>
      </c>
      <c r="E2" s="13" t="s">
        <v>11</v>
      </c>
      <c r="F2" s="14">
        <v>3770000</v>
      </c>
      <c r="G2" s="14">
        <f>IF(E2="Pemasukan",F2,-F2)</f>
        <v>3770000</v>
      </c>
    </row>
    <row r="3" spans="1:7" x14ac:dyDescent="0.35">
      <c r="A3" s="11">
        <v>2</v>
      </c>
      <c r="B3" s="16">
        <v>45949</v>
      </c>
      <c r="C3" s="12" t="s">
        <v>21</v>
      </c>
      <c r="D3" s="11" t="s">
        <v>7</v>
      </c>
      <c r="E3" s="15" t="s">
        <v>12</v>
      </c>
      <c r="F3" s="14">
        <v>40000</v>
      </c>
      <c r="G3" s="14">
        <f t="shared" ref="G3:G8" si="0">G2+IF(E3="Pemasukan",F3,-F3)</f>
        <v>3730000</v>
      </c>
    </row>
    <row r="4" spans="1:7" x14ac:dyDescent="0.35">
      <c r="A4" s="11">
        <v>3</v>
      </c>
      <c r="B4" s="16">
        <v>45970</v>
      </c>
      <c r="C4" s="12" t="s">
        <v>22</v>
      </c>
      <c r="D4" s="11" t="s">
        <v>7</v>
      </c>
      <c r="E4" s="15" t="s">
        <v>12</v>
      </c>
      <c r="F4" s="14">
        <v>1000000</v>
      </c>
      <c r="G4" s="14">
        <f t="shared" si="0"/>
        <v>2730000</v>
      </c>
    </row>
    <row r="5" spans="1:7" x14ac:dyDescent="0.35">
      <c r="A5" s="11">
        <v>4</v>
      </c>
      <c r="B5" s="16">
        <v>45979</v>
      </c>
      <c r="C5" s="12" t="s">
        <v>23</v>
      </c>
      <c r="D5" s="11" t="s">
        <v>8</v>
      </c>
      <c r="E5" s="15" t="s">
        <v>12</v>
      </c>
      <c r="F5" s="14">
        <v>200000</v>
      </c>
      <c r="G5" s="14">
        <f t="shared" si="0"/>
        <v>2530000</v>
      </c>
    </row>
    <row r="6" spans="1:7" x14ac:dyDescent="0.35">
      <c r="A6" s="11">
        <v>5</v>
      </c>
      <c r="B6" s="16">
        <v>45997</v>
      </c>
      <c r="C6" s="12" t="s">
        <v>24</v>
      </c>
      <c r="D6" s="11" t="s">
        <v>9</v>
      </c>
      <c r="E6" s="15" t="s">
        <v>12</v>
      </c>
      <c r="F6" s="14">
        <v>65000</v>
      </c>
      <c r="G6" s="14">
        <f t="shared" si="0"/>
        <v>2465000</v>
      </c>
    </row>
    <row r="7" spans="1:7" x14ac:dyDescent="0.35">
      <c r="A7" s="11">
        <v>6</v>
      </c>
      <c r="B7" s="16">
        <v>46126</v>
      </c>
      <c r="C7" s="12" t="s">
        <v>23</v>
      </c>
      <c r="D7" s="11" t="s">
        <v>8</v>
      </c>
      <c r="E7" s="15" t="s">
        <v>12</v>
      </c>
      <c r="F7" s="14">
        <v>100000</v>
      </c>
      <c r="G7" s="14">
        <f t="shared" si="0"/>
        <v>2365000</v>
      </c>
    </row>
    <row r="8" spans="1:7" x14ac:dyDescent="0.35">
      <c r="A8" s="11">
        <v>7</v>
      </c>
      <c r="B8" s="11" t="s">
        <v>26</v>
      </c>
      <c r="C8" s="12" t="s">
        <v>25</v>
      </c>
      <c r="D8" s="11" t="s">
        <v>6</v>
      </c>
      <c r="E8" s="13" t="s">
        <v>11</v>
      </c>
      <c r="F8" s="14">
        <v>570000</v>
      </c>
      <c r="G8" s="14">
        <f t="shared" si="0"/>
        <v>2935000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Dashboard</vt:lpstr>
      <vt:lpstr>Data_Kas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Nurahmi Azzahra</cp:lastModifiedBy>
  <dcterms:created xsi:type="dcterms:W3CDTF">2026-06-23T02:52:03Z</dcterms:created>
  <dcterms:modified xsi:type="dcterms:W3CDTF">2026-06-23T07:38:49Z</dcterms:modified>
</cp:coreProperties>
</file>